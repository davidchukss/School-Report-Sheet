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IOTB\Student-Report-Sheet\"/>
    </mc:Choice>
  </mc:AlternateContent>
  <xr:revisionPtr revIDLastSave="0" documentId="13_ncr:1_{B20B72E1-B155-4C0F-AB4F-9D845B1575F4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B7" i="2"/>
  <c r="B6" i="2"/>
  <c r="B16" i="2"/>
  <c r="C16" i="2" s="1"/>
  <c r="B15" i="2"/>
  <c r="D15" i="2" s="1"/>
  <c r="B14" i="2"/>
  <c r="C14" i="2" s="1"/>
  <c r="B13" i="2"/>
  <c r="C13" i="2" s="1"/>
  <c r="B12" i="2"/>
  <c r="C12" i="2" s="1"/>
  <c r="B11" i="2"/>
  <c r="D11" i="2" s="1"/>
  <c r="B10" i="2"/>
  <c r="D10" i="2" s="1"/>
  <c r="B19" i="2" l="1"/>
  <c r="B24" i="2" s="1"/>
  <c r="B21" i="2"/>
  <c r="B22" i="2"/>
  <c r="B20" i="2"/>
  <c r="C15" i="2"/>
  <c r="C10" i="2"/>
  <c r="D14" i="2"/>
  <c r="D13" i="2"/>
  <c r="C11" i="2"/>
  <c r="D16" i="2"/>
  <c r="D12" i="2"/>
  <c r="B23" i="2" l="1"/>
  <c r="E10" i="2"/>
</calcChain>
</file>

<file path=xl/sharedStrings.xml><?xml version="1.0" encoding="utf-8"?>
<sst xmlns="http://schemas.openxmlformats.org/spreadsheetml/2006/main" count="141" uniqueCount="115">
  <si>
    <t>STUDENT ID</t>
  </si>
  <si>
    <t>NAME</t>
  </si>
  <si>
    <t>DEPT</t>
  </si>
  <si>
    <t>MATHS</t>
  </si>
  <si>
    <t>ENGLISH</t>
  </si>
  <si>
    <t>PHY</t>
  </si>
  <si>
    <t>BIO</t>
  </si>
  <si>
    <t>CHE</t>
  </si>
  <si>
    <t>AGRIC</t>
  </si>
  <si>
    <t>GEO</t>
  </si>
  <si>
    <t>IKT34</t>
  </si>
  <si>
    <t>Adeola Musa</t>
  </si>
  <si>
    <t>Computer Science</t>
  </si>
  <si>
    <t>IKT02</t>
  </si>
  <si>
    <t>Tunde Balogun</t>
  </si>
  <si>
    <t>Accounting</t>
  </si>
  <si>
    <t>IKT89</t>
  </si>
  <si>
    <t>Chioma Okeke</t>
  </si>
  <si>
    <t>Biology</t>
  </si>
  <si>
    <t>IKT11</t>
  </si>
  <si>
    <t>Ibrahim Bello</t>
  </si>
  <si>
    <t>Engineering</t>
  </si>
  <si>
    <t>IKT53</t>
  </si>
  <si>
    <t>Ngozi Eze</t>
  </si>
  <si>
    <t>Economics</t>
  </si>
  <si>
    <t>IKT27</t>
  </si>
  <si>
    <t>Samuel Adeyemi</t>
  </si>
  <si>
    <t>Geography</t>
  </si>
  <si>
    <t>IKT75</t>
  </si>
  <si>
    <t>Ruth Akinwale</t>
  </si>
  <si>
    <t>Microbiology</t>
  </si>
  <si>
    <t>IKT20</t>
  </si>
  <si>
    <t>Emeka Obi</t>
  </si>
  <si>
    <t>Physics</t>
  </si>
  <si>
    <t>IKT61</t>
  </si>
  <si>
    <t>Zainab Sadiq</t>
  </si>
  <si>
    <t>Chemistry</t>
  </si>
  <si>
    <t>IKT08</t>
  </si>
  <si>
    <t>David Ojo</t>
  </si>
  <si>
    <t>IKT44</t>
  </si>
  <si>
    <t>Grace Nwosu</t>
  </si>
  <si>
    <t>IKT92</t>
  </si>
  <si>
    <t>Kingsley Uche</t>
  </si>
  <si>
    <t>IKT36</t>
  </si>
  <si>
    <t>Amina Bello</t>
  </si>
  <si>
    <t>Agriculture</t>
  </si>
  <si>
    <t>IKT14</t>
  </si>
  <si>
    <t>Peter Okon</t>
  </si>
  <si>
    <t>Geology</t>
  </si>
  <si>
    <t>IKT71</t>
  </si>
  <si>
    <t>Blessing Eze</t>
  </si>
  <si>
    <t>IKT16</t>
  </si>
  <si>
    <t>Kolade Lawal</t>
  </si>
  <si>
    <t>IKT50</t>
  </si>
  <si>
    <t>Halima Musa</t>
  </si>
  <si>
    <t>IKT83</t>
  </si>
  <si>
    <t>Victor James</t>
  </si>
  <si>
    <t>IKT05</t>
  </si>
  <si>
    <t>Joy Olatunji</t>
  </si>
  <si>
    <t>IKT99</t>
  </si>
  <si>
    <t>Sani Abdullahi</t>
  </si>
  <si>
    <t>IKT21</t>
  </si>
  <si>
    <t>Esther Okafor</t>
  </si>
  <si>
    <t>IKT64</t>
  </si>
  <si>
    <t>Adewale Yusuf</t>
  </si>
  <si>
    <t>IKT03</t>
  </si>
  <si>
    <t>Chinedu Nnamdi</t>
  </si>
  <si>
    <t>IKT57</t>
  </si>
  <si>
    <t>Maryam Aliyu</t>
  </si>
  <si>
    <t>IKT41</t>
  </si>
  <si>
    <t>Paul Johnson</t>
  </si>
  <si>
    <t>IKT12</t>
  </si>
  <si>
    <t>Lilian Obi</t>
  </si>
  <si>
    <t>IKT68</t>
  </si>
  <si>
    <t>Usman Garba</t>
  </si>
  <si>
    <t>IKT25</t>
  </si>
  <si>
    <t>Rachel Danjuma</t>
  </si>
  <si>
    <t>IKT77</t>
  </si>
  <si>
    <t>Stephen Adeoye</t>
  </si>
  <si>
    <t>IKT01</t>
  </si>
  <si>
    <t>Fatima Lawal</t>
  </si>
  <si>
    <t>Student ID</t>
  </si>
  <si>
    <t>Student Name</t>
  </si>
  <si>
    <t xml:space="preserve">Subject </t>
  </si>
  <si>
    <t>Scores</t>
  </si>
  <si>
    <t>Grade</t>
  </si>
  <si>
    <t>Comment</t>
  </si>
  <si>
    <t>Maths</t>
  </si>
  <si>
    <t>English</t>
  </si>
  <si>
    <t>Agric</t>
  </si>
  <si>
    <t>Department</t>
  </si>
  <si>
    <t>Minimum Scores</t>
  </si>
  <si>
    <t>Grades</t>
  </si>
  <si>
    <t>A</t>
  </si>
  <si>
    <t>B</t>
  </si>
  <si>
    <t>C</t>
  </si>
  <si>
    <t>D</t>
  </si>
  <si>
    <t>F</t>
  </si>
  <si>
    <t>Fail</t>
  </si>
  <si>
    <t>Good</t>
  </si>
  <si>
    <t>Very Good</t>
  </si>
  <si>
    <t>Excellent</t>
  </si>
  <si>
    <t xml:space="preserve"> Scores</t>
  </si>
  <si>
    <t>DC - Alpha High School</t>
  </si>
  <si>
    <t>Student Report Sheet</t>
  </si>
  <si>
    <t>Performance Summary</t>
  </si>
  <si>
    <t>Total Score</t>
  </si>
  <si>
    <t>Average Score</t>
  </si>
  <si>
    <t>Highest Score</t>
  </si>
  <si>
    <t>Lowest Score</t>
  </si>
  <si>
    <t>Overall Grade</t>
  </si>
  <si>
    <t>Position in class</t>
  </si>
  <si>
    <t>TOTAL</t>
  </si>
  <si>
    <t>Pass/Fail Status</t>
  </si>
  <si>
    <t>Teacher's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</si>
</sst>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b/>
      <sz val="11"/>
      <color theme="1"/>
      <name val="'Segoe UI'"/>
    </font>
    <font>
      <sz val="11"/>
      <color theme="1"/>
      <name val="'Segoe UI'"/>
    </font>
    <font>
      <sz val="11"/>
      <color theme="1"/>
      <name val="Arial"/>
    </font>
    <font>
      <sz val="10"/>
      <color rgb="FF000000"/>
      <name val="Arial"/>
      <scheme val="minor"/>
    </font>
    <font>
      <b/>
      <sz val="14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24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7" fillId="0" borderId="1" xfId="0" applyFont="1" applyBorder="1"/>
    <xf numFmtId="0" fontId="0" fillId="0" borderId="1" xfId="0" applyBorder="1" applyAlignment="1">
      <alignment horizontal="center"/>
    </xf>
    <xf numFmtId="1" fontId="0" fillId="0" borderId="1" xfId="1" applyNumberFormat="1" applyFont="1" applyBorder="1" applyAlignment="1">
      <alignment horizontal="center"/>
    </xf>
    <xf numFmtId="0" fontId="6" fillId="3" borderId="1" xfId="0" applyFont="1" applyFill="1" applyBorder="1"/>
    <xf numFmtId="0" fontId="6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0" borderId="1" xfId="0" applyBorder="1"/>
    <xf numFmtId="0" fontId="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2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'Segoe UI'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'Segoe UI'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'Segoe UI'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'Segoe UI'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'Segoe UI'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'Segoe UI'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'Segoe UI'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'Segoe UI'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'Segoe UI'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'Segoe UI'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'Segoe UI'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'Segoe UI'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'Segoe UI'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10/relationships/person" Target="persons/person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ECA02E-C992-4833-8E0C-5A04F8FBFAB3}" name="Table1" displayName="Table1" ref="A1:K31" totalsRowShown="0" headerRowDxfId="21" dataDxfId="20">
  <tableColumns count="11">
    <tableColumn id="1" xr3:uid="{B6CDE5B5-3E07-4C53-84BF-2ABEF25F6D68}" name="STUDENT ID" dataDxfId="19"/>
    <tableColumn id="2" xr3:uid="{56FBC803-825D-40C2-AB92-4B151201F202}" name="NAME" dataDxfId="18"/>
    <tableColumn id="3" xr3:uid="{586ABC6D-731F-41A3-9836-73049F071FBB}" name="DEPT" dataDxfId="17"/>
    <tableColumn id="4" xr3:uid="{FD663EE9-B59D-4CFE-8801-84686CDC927A}" name="MATHS" dataDxfId="16"/>
    <tableColumn id="5" xr3:uid="{36593F34-9BC9-4668-9E5B-DA85BACA8425}" name="ENGLISH" dataDxfId="15"/>
    <tableColumn id="6" xr3:uid="{3C1A34D9-A18C-40A8-B05B-7A381B660156}" name="PHY" dataDxfId="14"/>
    <tableColumn id="7" xr3:uid="{03D642B4-DC44-436C-8F43-C8172B8FCA7A}" name="BIO" dataDxfId="13"/>
    <tableColumn id="8" xr3:uid="{EAF7141E-A52C-4596-9AFF-AC7DB4CDF74B}" name="CHE" dataDxfId="12"/>
    <tableColumn id="9" xr3:uid="{576F7A98-8DE3-42B9-ADC4-11C9A8A88E22}" name="AGRIC" dataDxfId="11"/>
    <tableColumn id="10" xr3:uid="{E5C04D10-9E1E-45FE-8A5D-2261714313B7}" name="GEO" dataDxfId="10"/>
    <tableColumn id="11" xr3:uid="{45123633-C906-48ED-8C67-AA0A37170E9B}" name="TOTAL" dataDxfId="9">
      <calculatedColumnFormula>SUM(Table1[[#This Row],[MATHS]:[GEO]])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31"/>
  <sheetViews>
    <sheetView topLeftCell="A12" workbookViewId="0">
      <selection activeCell="L2" sqref="L2"/>
    </sheetView>
  </sheetViews>
  <sheetFormatPr defaultColWidth="12.6328125" defaultRowHeight="15.75" customHeight="1"/>
  <cols>
    <col min="1" max="1" width="17.7265625" bestFit="1" customWidth="1"/>
    <col min="2" max="2" width="14.906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112</v>
      </c>
    </row>
    <row r="2" spans="1:11">
      <c r="A2" s="2" t="s">
        <v>10</v>
      </c>
      <c r="B2" s="2" t="s">
        <v>11</v>
      </c>
      <c r="C2" s="2" t="s">
        <v>12</v>
      </c>
      <c r="D2" s="2">
        <v>78</v>
      </c>
      <c r="E2" s="2">
        <v>65</v>
      </c>
      <c r="F2" s="3">
        <v>44</v>
      </c>
      <c r="G2" s="2">
        <v>74</v>
      </c>
      <c r="H2" s="2">
        <v>69</v>
      </c>
      <c r="I2" s="2">
        <v>55</v>
      </c>
      <c r="J2" s="2">
        <v>60</v>
      </c>
      <c r="K2" s="2">
        <f>SUM(Table1[[#This Row],[MATHS]:[GEO]])</f>
        <v>445</v>
      </c>
    </row>
    <row r="3" spans="1:11">
      <c r="A3" s="2" t="s">
        <v>13</v>
      </c>
      <c r="B3" s="2" t="s">
        <v>14</v>
      </c>
      <c r="C3" s="2" t="s">
        <v>15</v>
      </c>
      <c r="D3" s="2">
        <v>55</v>
      </c>
      <c r="E3" s="2">
        <v>60</v>
      </c>
      <c r="F3" s="2">
        <v>48</v>
      </c>
      <c r="G3" s="2">
        <v>52</v>
      </c>
      <c r="H3" s="2">
        <v>72</v>
      </c>
      <c r="I3" s="2">
        <v>67</v>
      </c>
      <c r="J3" s="2">
        <v>58</v>
      </c>
      <c r="K3" s="2">
        <f>SUM(Table1[[#This Row],[MATHS]:[GEO]])</f>
        <v>412</v>
      </c>
    </row>
    <row r="4" spans="1:11">
      <c r="A4" s="2" t="s">
        <v>16</v>
      </c>
      <c r="B4" s="2" t="s">
        <v>17</v>
      </c>
      <c r="C4" s="2" t="s">
        <v>18</v>
      </c>
      <c r="D4" s="2">
        <v>85</v>
      </c>
      <c r="E4" s="2">
        <v>79</v>
      </c>
      <c r="F4" s="2">
        <v>74</v>
      </c>
      <c r="G4" s="2">
        <v>88</v>
      </c>
      <c r="H4" s="2">
        <v>81</v>
      </c>
      <c r="I4" s="2">
        <v>70</v>
      </c>
      <c r="J4" s="2">
        <v>72</v>
      </c>
      <c r="K4" s="2">
        <f>SUM(Table1[[#This Row],[MATHS]:[GEO]])</f>
        <v>549</v>
      </c>
    </row>
    <row r="5" spans="1:11">
      <c r="A5" s="2" t="s">
        <v>19</v>
      </c>
      <c r="B5" s="2" t="s">
        <v>20</v>
      </c>
      <c r="C5" s="2" t="s">
        <v>21</v>
      </c>
      <c r="D5" s="2">
        <v>90</v>
      </c>
      <c r="E5" s="2">
        <v>76</v>
      </c>
      <c r="F5" s="2">
        <v>88</v>
      </c>
      <c r="G5" s="3">
        <v>55</v>
      </c>
      <c r="H5" s="2">
        <v>84</v>
      </c>
      <c r="I5" s="2">
        <v>73</v>
      </c>
      <c r="J5" s="2">
        <v>75</v>
      </c>
      <c r="K5" s="2">
        <f>SUM(Table1[[#This Row],[MATHS]:[GEO]])</f>
        <v>541</v>
      </c>
    </row>
    <row r="6" spans="1:11">
      <c r="A6" s="2" t="s">
        <v>22</v>
      </c>
      <c r="B6" s="2" t="s">
        <v>23</v>
      </c>
      <c r="C6" s="2" t="s">
        <v>24</v>
      </c>
      <c r="D6" s="2">
        <v>62</v>
      </c>
      <c r="E6" s="2">
        <v>70</v>
      </c>
      <c r="F6" s="2">
        <v>58</v>
      </c>
      <c r="G6" s="2">
        <v>60</v>
      </c>
      <c r="H6" s="2">
        <v>64</v>
      </c>
      <c r="I6" s="2">
        <v>66</v>
      </c>
      <c r="J6" s="2">
        <v>59</v>
      </c>
      <c r="K6" s="2">
        <f>SUM(Table1[[#This Row],[MATHS]:[GEO]])</f>
        <v>439</v>
      </c>
    </row>
    <row r="7" spans="1:11">
      <c r="A7" s="2" t="s">
        <v>25</v>
      </c>
      <c r="B7" s="2" t="s">
        <v>26</v>
      </c>
      <c r="C7" s="2" t="s">
        <v>27</v>
      </c>
      <c r="D7" s="2">
        <v>71</v>
      </c>
      <c r="E7" s="2">
        <v>68</v>
      </c>
      <c r="F7" s="2">
        <v>72</v>
      </c>
      <c r="G7" s="2">
        <v>65</v>
      </c>
      <c r="H7" s="2">
        <v>60</v>
      </c>
      <c r="I7" s="2">
        <v>75</v>
      </c>
      <c r="J7" s="3">
        <v>44</v>
      </c>
      <c r="K7" s="2">
        <f>SUM(Table1[[#This Row],[MATHS]:[GEO]])</f>
        <v>455</v>
      </c>
    </row>
    <row r="8" spans="1:11">
      <c r="A8" s="2" t="s">
        <v>28</v>
      </c>
      <c r="B8" s="2" t="s">
        <v>29</v>
      </c>
      <c r="C8" s="2" t="s">
        <v>30</v>
      </c>
      <c r="D8" s="3">
        <v>44</v>
      </c>
      <c r="E8" s="2">
        <v>74</v>
      </c>
      <c r="F8" s="2">
        <v>78</v>
      </c>
      <c r="G8" s="2">
        <v>82</v>
      </c>
      <c r="H8" s="2">
        <v>77</v>
      </c>
      <c r="I8" s="2">
        <v>69</v>
      </c>
      <c r="J8" s="2">
        <v>70</v>
      </c>
      <c r="K8" s="2">
        <f>SUM(Table1[[#This Row],[MATHS]:[GEO]])</f>
        <v>494</v>
      </c>
    </row>
    <row r="9" spans="1:11">
      <c r="A9" s="2" t="s">
        <v>31</v>
      </c>
      <c r="B9" s="2" t="s">
        <v>32</v>
      </c>
      <c r="C9" s="2" t="s">
        <v>33</v>
      </c>
      <c r="D9" s="3">
        <v>44</v>
      </c>
      <c r="E9" s="2">
        <v>66</v>
      </c>
      <c r="F9" s="2">
        <v>91</v>
      </c>
      <c r="G9" s="2">
        <v>73</v>
      </c>
      <c r="H9" s="2">
        <v>85</v>
      </c>
      <c r="I9" s="2">
        <v>60</v>
      </c>
      <c r="J9" s="2">
        <v>64</v>
      </c>
      <c r="K9" s="2">
        <f>SUM(Table1[[#This Row],[MATHS]:[GEO]])</f>
        <v>483</v>
      </c>
    </row>
    <row r="10" spans="1:11">
      <c r="A10" s="2" t="s">
        <v>34</v>
      </c>
      <c r="B10" s="2" t="s">
        <v>35</v>
      </c>
      <c r="C10" s="2" t="s">
        <v>36</v>
      </c>
      <c r="D10" s="2">
        <v>73</v>
      </c>
      <c r="E10" s="2">
        <v>70</v>
      </c>
      <c r="F10" s="2">
        <v>75</v>
      </c>
      <c r="G10" s="2">
        <v>68</v>
      </c>
      <c r="H10" s="2">
        <v>80</v>
      </c>
      <c r="I10" s="2">
        <v>65</v>
      </c>
      <c r="J10" s="2">
        <v>69</v>
      </c>
      <c r="K10" s="2">
        <f>SUM(Table1[[#This Row],[MATHS]:[GEO]])</f>
        <v>500</v>
      </c>
    </row>
    <row r="11" spans="1:11">
      <c r="A11" s="2" t="s">
        <v>37</v>
      </c>
      <c r="B11" s="2" t="s">
        <v>38</v>
      </c>
      <c r="C11" s="2" t="s">
        <v>21</v>
      </c>
      <c r="D11" s="3">
        <v>44</v>
      </c>
      <c r="E11" s="2">
        <v>77</v>
      </c>
      <c r="F11" s="3">
        <v>55</v>
      </c>
      <c r="G11" s="2">
        <v>79</v>
      </c>
      <c r="H11" s="2">
        <v>81</v>
      </c>
      <c r="I11" s="2">
        <v>72</v>
      </c>
      <c r="J11" s="2">
        <v>74</v>
      </c>
      <c r="K11" s="2">
        <f>SUM(Table1[[#This Row],[MATHS]:[GEO]])</f>
        <v>482</v>
      </c>
    </row>
    <row r="12" spans="1:11">
      <c r="A12" s="2" t="s">
        <v>39</v>
      </c>
      <c r="B12" s="2" t="s">
        <v>40</v>
      </c>
      <c r="C12" s="2" t="s">
        <v>18</v>
      </c>
      <c r="D12" s="3">
        <v>56</v>
      </c>
      <c r="E12" s="2">
        <v>72</v>
      </c>
      <c r="F12" s="2">
        <v>65</v>
      </c>
      <c r="G12" s="2">
        <v>70</v>
      </c>
      <c r="H12" s="2">
        <v>68</v>
      </c>
      <c r="I12" s="2">
        <v>64</v>
      </c>
      <c r="J12" s="2">
        <v>66</v>
      </c>
      <c r="K12" s="2">
        <f>SUM(Table1[[#This Row],[MATHS]:[GEO]])</f>
        <v>461</v>
      </c>
    </row>
    <row r="13" spans="1:11">
      <c r="A13" s="2" t="s">
        <v>41</v>
      </c>
      <c r="B13" s="2" t="s">
        <v>42</v>
      </c>
      <c r="C13" s="2" t="s">
        <v>12</v>
      </c>
      <c r="D13" s="2">
        <v>75</v>
      </c>
      <c r="E13" s="2">
        <v>71</v>
      </c>
      <c r="F13" s="3">
        <v>66</v>
      </c>
      <c r="G13" s="2">
        <v>74</v>
      </c>
      <c r="H13" s="2">
        <v>72</v>
      </c>
      <c r="I13" s="2">
        <v>69</v>
      </c>
      <c r="J13" s="2">
        <v>70</v>
      </c>
      <c r="K13" s="2">
        <f>SUM(Table1[[#This Row],[MATHS]:[GEO]])</f>
        <v>497</v>
      </c>
    </row>
    <row r="14" spans="1:11">
      <c r="A14" s="2" t="s">
        <v>43</v>
      </c>
      <c r="B14" s="2" t="s">
        <v>44</v>
      </c>
      <c r="C14" s="2" t="s">
        <v>45</v>
      </c>
      <c r="D14" s="2">
        <v>66</v>
      </c>
      <c r="E14" s="2">
        <v>68</v>
      </c>
      <c r="F14" s="2">
        <v>62</v>
      </c>
      <c r="G14" s="2">
        <v>64</v>
      </c>
      <c r="H14" s="2">
        <v>65</v>
      </c>
      <c r="I14" s="2">
        <v>78</v>
      </c>
      <c r="J14" s="2">
        <v>72</v>
      </c>
      <c r="K14" s="2">
        <f>SUM(Table1[[#This Row],[MATHS]:[GEO]])</f>
        <v>475</v>
      </c>
    </row>
    <row r="15" spans="1:11">
      <c r="A15" s="2" t="s">
        <v>46</v>
      </c>
      <c r="B15" s="2" t="s">
        <v>47</v>
      </c>
      <c r="C15" s="2" t="s">
        <v>48</v>
      </c>
      <c r="D15" s="3">
        <v>55</v>
      </c>
      <c r="E15" s="2">
        <v>73</v>
      </c>
      <c r="F15" s="2">
        <v>76</v>
      </c>
      <c r="G15" s="2">
        <v>68</v>
      </c>
      <c r="H15" s="2">
        <v>74</v>
      </c>
      <c r="I15" s="2">
        <v>60</v>
      </c>
      <c r="J15" s="2">
        <v>82</v>
      </c>
      <c r="K15" s="2">
        <f>SUM(Table1[[#This Row],[MATHS]:[GEO]])</f>
        <v>488</v>
      </c>
    </row>
    <row r="16" spans="1:11">
      <c r="A16" s="2" t="s">
        <v>49</v>
      </c>
      <c r="B16" s="2" t="s">
        <v>50</v>
      </c>
      <c r="C16" s="2" t="s">
        <v>15</v>
      </c>
      <c r="D16" s="2">
        <v>72</v>
      </c>
      <c r="E16" s="2">
        <v>65</v>
      </c>
      <c r="F16" s="2">
        <v>60</v>
      </c>
      <c r="G16" s="2">
        <v>58</v>
      </c>
      <c r="H16" s="2">
        <v>69</v>
      </c>
      <c r="I16" s="2">
        <v>70</v>
      </c>
      <c r="J16" s="3">
        <v>44</v>
      </c>
      <c r="K16" s="2">
        <f>SUM(Table1[[#This Row],[MATHS]:[GEO]])</f>
        <v>438</v>
      </c>
    </row>
    <row r="17" spans="1:11">
      <c r="A17" s="2" t="s">
        <v>51</v>
      </c>
      <c r="B17" s="2" t="s">
        <v>52</v>
      </c>
      <c r="C17" s="2" t="s">
        <v>24</v>
      </c>
      <c r="D17" s="2">
        <v>68</v>
      </c>
      <c r="E17" s="2">
        <v>72</v>
      </c>
      <c r="F17" s="2">
        <v>70</v>
      </c>
      <c r="G17" s="2">
        <v>66</v>
      </c>
      <c r="H17" s="2">
        <v>71</v>
      </c>
      <c r="I17" s="2">
        <v>63</v>
      </c>
      <c r="J17" s="2">
        <v>60</v>
      </c>
      <c r="K17" s="2">
        <f>SUM(Table1[[#This Row],[MATHS]:[GEO]])</f>
        <v>470</v>
      </c>
    </row>
    <row r="18" spans="1:11">
      <c r="A18" s="2" t="s">
        <v>53</v>
      </c>
      <c r="B18" s="2" t="s">
        <v>54</v>
      </c>
      <c r="C18" s="2" t="s">
        <v>45</v>
      </c>
      <c r="D18" s="2">
        <v>64</v>
      </c>
      <c r="E18" s="2">
        <v>66</v>
      </c>
      <c r="F18" s="3">
        <v>55</v>
      </c>
      <c r="G18" s="2">
        <v>65</v>
      </c>
      <c r="H18" s="2">
        <v>68</v>
      </c>
      <c r="I18" s="2">
        <v>74</v>
      </c>
      <c r="J18" s="2">
        <v>70</v>
      </c>
      <c r="K18" s="2">
        <f>SUM(Table1[[#This Row],[MATHS]:[GEO]])</f>
        <v>462</v>
      </c>
    </row>
    <row r="19" spans="1:11">
      <c r="A19" s="2" t="s">
        <v>55</v>
      </c>
      <c r="B19" s="2" t="s">
        <v>56</v>
      </c>
      <c r="C19" s="2" t="s">
        <v>33</v>
      </c>
      <c r="D19" s="2">
        <v>77</v>
      </c>
      <c r="E19" s="3">
        <v>55</v>
      </c>
      <c r="F19" s="2">
        <v>85</v>
      </c>
      <c r="G19" s="2">
        <v>70</v>
      </c>
      <c r="H19" s="2">
        <v>80</v>
      </c>
      <c r="I19" s="2">
        <v>66</v>
      </c>
      <c r="J19" s="2">
        <v>68</v>
      </c>
      <c r="K19" s="2">
        <f>SUM(Table1[[#This Row],[MATHS]:[GEO]])</f>
        <v>501</v>
      </c>
    </row>
    <row r="20" spans="1:11">
      <c r="A20" s="2" t="s">
        <v>57</v>
      </c>
      <c r="B20" s="2" t="s">
        <v>58</v>
      </c>
      <c r="C20" s="2" t="s">
        <v>30</v>
      </c>
      <c r="D20" s="2">
        <v>73</v>
      </c>
      <c r="E20" s="2">
        <v>75</v>
      </c>
      <c r="F20" s="2">
        <v>70</v>
      </c>
      <c r="G20" s="2">
        <v>76</v>
      </c>
      <c r="H20" s="2">
        <v>72</v>
      </c>
      <c r="I20" s="2">
        <v>65</v>
      </c>
      <c r="J20" s="2">
        <v>67</v>
      </c>
      <c r="K20" s="2">
        <f>SUM(Table1[[#This Row],[MATHS]:[GEO]])</f>
        <v>498</v>
      </c>
    </row>
    <row r="21" spans="1:11">
      <c r="A21" s="2" t="s">
        <v>59</v>
      </c>
      <c r="B21" s="2" t="s">
        <v>60</v>
      </c>
      <c r="C21" s="2" t="s">
        <v>21</v>
      </c>
      <c r="D21" s="3">
        <v>55</v>
      </c>
      <c r="E21" s="2">
        <v>78</v>
      </c>
      <c r="F21" s="3">
        <v>25</v>
      </c>
      <c r="G21" s="2">
        <v>82</v>
      </c>
      <c r="H21" s="3">
        <v>22</v>
      </c>
      <c r="I21" s="2">
        <v>80</v>
      </c>
      <c r="J21" s="2">
        <v>79</v>
      </c>
      <c r="K21" s="2">
        <f>SUM(Table1[[#This Row],[MATHS]:[GEO]])</f>
        <v>421</v>
      </c>
    </row>
    <row r="22" spans="1:11">
      <c r="A22" s="2" t="s">
        <v>61</v>
      </c>
      <c r="B22" s="2" t="s">
        <v>62</v>
      </c>
      <c r="C22" s="2" t="s">
        <v>18</v>
      </c>
      <c r="D22" s="2">
        <v>74</v>
      </c>
      <c r="E22" s="2">
        <v>76</v>
      </c>
      <c r="F22" s="2">
        <v>72</v>
      </c>
      <c r="G22" s="2">
        <v>78</v>
      </c>
      <c r="H22" s="2">
        <v>75</v>
      </c>
      <c r="I22" s="2">
        <v>68</v>
      </c>
      <c r="J22" s="2">
        <v>70</v>
      </c>
      <c r="K22" s="2">
        <f>SUM(Table1[[#This Row],[MATHS]:[GEO]])</f>
        <v>513</v>
      </c>
    </row>
    <row r="23" spans="1:11">
      <c r="A23" s="2" t="s">
        <v>63</v>
      </c>
      <c r="B23" s="2" t="s">
        <v>64</v>
      </c>
      <c r="C23" s="2" t="s">
        <v>27</v>
      </c>
      <c r="D23" s="2">
        <v>69</v>
      </c>
      <c r="E23" s="2">
        <v>70</v>
      </c>
      <c r="F23" s="2">
        <v>68</v>
      </c>
      <c r="G23" s="2">
        <v>66</v>
      </c>
      <c r="H23" s="2">
        <v>72</v>
      </c>
      <c r="I23" s="2">
        <v>74</v>
      </c>
      <c r="J23" s="2">
        <v>81</v>
      </c>
      <c r="K23" s="2">
        <f>SUM(Table1[[#This Row],[MATHS]:[GEO]])</f>
        <v>500</v>
      </c>
    </row>
    <row r="24" spans="1:11">
      <c r="A24" s="2" t="s">
        <v>65</v>
      </c>
      <c r="B24" s="2" t="s">
        <v>66</v>
      </c>
      <c r="C24" s="2" t="s">
        <v>12</v>
      </c>
      <c r="D24" s="2">
        <v>82</v>
      </c>
      <c r="E24" s="2">
        <v>79</v>
      </c>
      <c r="F24" s="2">
        <v>84</v>
      </c>
      <c r="G24" s="2">
        <v>80</v>
      </c>
      <c r="H24" s="2">
        <v>78</v>
      </c>
      <c r="I24" s="2">
        <v>72</v>
      </c>
      <c r="J24" s="2">
        <v>73</v>
      </c>
      <c r="K24" s="2">
        <f>SUM(Table1[[#This Row],[MATHS]:[GEO]])</f>
        <v>548</v>
      </c>
    </row>
    <row r="25" spans="1:11">
      <c r="A25" s="2" t="s">
        <v>67</v>
      </c>
      <c r="B25" s="2" t="s">
        <v>68</v>
      </c>
      <c r="C25" s="2" t="s">
        <v>36</v>
      </c>
      <c r="D25" s="2">
        <v>70</v>
      </c>
      <c r="E25" s="2">
        <v>74</v>
      </c>
      <c r="F25" s="2">
        <v>68</v>
      </c>
      <c r="G25" s="3">
        <v>55</v>
      </c>
      <c r="H25" s="2">
        <v>75</v>
      </c>
      <c r="I25" s="2">
        <v>77</v>
      </c>
      <c r="J25" s="2">
        <v>69</v>
      </c>
      <c r="K25" s="2">
        <f>SUM(Table1[[#This Row],[MATHS]:[GEO]])</f>
        <v>488</v>
      </c>
    </row>
    <row r="26" spans="1:11">
      <c r="A26" s="2" t="s">
        <v>69</v>
      </c>
      <c r="B26" s="2" t="s">
        <v>70</v>
      </c>
      <c r="C26" s="2" t="s">
        <v>21</v>
      </c>
      <c r="D26" s="3">
        <v>55</v>
      </c>
      <c r="E26" s="2">
        <v>80</v>
      </c>
      <c r="F26" s="2">
        <v>90</v>
      </c>
      <c r="G26" s="2">
        <v>78</v>
      </c>
      <c r="H26" s="2">
        <v>84</v>
      </c>
      <c r="I26" s="2">
        <v>76</v>
      </c>
      <c r="J26" s="2">
        <v>75</v>
      </c>
      <c r="K26" s="2">
        <f>SUM(Table1[[#This Row],[MATHS]:[GEO]])</f>
        <v>538</v>
      </c>
    </row>
    <row r="27" spans="1:11">
      <c r="A27" s="2" t="s">
        <v>71</v>
      </c>
      <c r="B27" s="2" t="s">
        <v>72</v>
      </c>
      <c r="C27" s="2" t="s">
        <v>15</v>
      </c>
      <c r="D27" s="2">
        <v>65</v>
      </c>
      <c r="E27" s="2">
        <v>70</v>
      </c>
      <c r="F27" s="2">
        <v>60</v>
      </c>
      <c r="G27" s="2">
        <v>62</v>
      </c>
      <c r="H27" s="2">
        <v>68</v>
      </c>
      <c r="I27" s="3">
        <v>55</v>
      </c>
      <c r="J27" s="2">
        <v>64</v>
      </c>
      <c r="K27" s="2">
        <f>SUM(Table1[[#This Row],[MATHS]:[GEO]])</f>
        <v>444</v>
      </c>
    </row>
    <row r="28" spans="1:11">
      <c r="A28" s="2" t="s">
        <v>73</v>
      </c>
      <c r="B28" s="2" t="s">
        <v>74</v>
      </c>
      <c r="C28" s="2" t="s">
        <v>45</v>
      </c>
      <c r="D28" s="3">
        <v>44</v>
      </c>
      <c r="E28" s="2">
        <v>66</v>
      </c>
      <c r="F28" s="2">
        <v>70</v>
      </c>
      <c r="G28" s="2">
        <v>72</v>
      </c>
      <c r="H28" s="3">
        <v>44</v>
      </c>
      <c r="I28" s="3">
        <v>55</v>
      </c>
      <c r="J28" s="2">
        <v>74</v>
      </c>
      <c r="K28" s="2">
        <f>SUM(Table1[[#This Row],[MATHS]:[GEO]])</f>
        <v>425</v>
      </c>
    </row>
    <row r="29" spans="1:11">
      <c r="A29" s="2" t="s">
        <v>75</v>
      </c>
      <c r="B29" s="2" t="s">
        <v>76</v>
      </c>
      <c r="C29" s="2" t="s">
        <v>18</v>
      </c>
      <c r="D29" s="2">
        <v>75</v>
      </c>
      <c r="E29" s="2">
        <v>78</v>
      </c>
      <c r="F29" s="3">
        <v>55</v>
      </c>
      <c r="G29" s="3">
        <v>44</v>
      </c>
      <c r="H29" s="2">
        <v>77</v>
      </c>
      <c r="I29" s="2">
        <v>70</v>
      </c>
      <c r="J29" s="2">
        <v>72</v>
      </c>
      <c r="K29" s="2">
        <f>SUM(Table1[[#This Row],[MATHS]:[GEO]])</f>
        <v>471</v>
      </c>
    </row>
    <row r="30" spans="1:11">
      <c r="A30" s="2" t="s">
        <v>77</v>
      </c>
      <c r="B30" s="2" t="s">
        <v>78</v>
      </c>
      <c r="C30" s="2" t="s">
        <v>33</v>
      </c>
      <c r="D30" s="2">
        <v>80</v>
      </c>
      <c r="E30" s="2">
        <v>74</v>
      </c>
      <c r="F30" s="2">
        <v>85</v>
      </c>
      <c r="G30" s="2">
        <v>78</v>
      </c>
      <c r="H30" s="2">
        <v>82</v>
      </c>
      <c r="I30" s="2">
        <v>69</v>
      </c>
      <c r="J30" s="2">
        <v>71</v>
      </c>
      <c r="K30" s="2">
        <f>SUM(Table1[[#This Row],[MATHS]:[GEO]])</f>
        <v>539</v>
      </c>
    </row>
    <row r="31" spans="1:11">
      <c r="A31" s="2" t="s">
        <v>79</v>
      </c>
      <c r="B31" s="2" t="s">
        <v>80</v>
      </c>
      <c r="C31" s="2" t="s">
        <v>24</v>
      </c>
      <c r="D31" s="2">
        <v>72</v>
      </c>
      <c r="E31" s="2">
        <v>75</v>
      </c>
      <c r="F31" s="2">
        <v>70</v>
      </c>
      <c r="G31" s="2">
        <v>68</v>
      </c>
      <c r="H31" s="2">
        <v>73</v>
      </c>
      <c r="I31" s="2">
        <v>77</v>
      </c>
      <c r="J31" s="2">
        <v>69</v>
      </c>
      <c r="K31" s="2">
        <f>SUM(Table1[[#This Row],[MATHS]:[GEO]])</f>
        <v>504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DA1AD-0610-4D60-944F-537E537CD6DF}">
  <dimension ref="A1:G24"/>
  <sheetViews>
    <sheetView tabSelected="1" workbookViewId="0">
      <selection activeCell="I22" sqref="I22"/>
    </sheetView>
  </sheetViews>
  <sheetFormatPr defaultRowHeight="12.5"/>
  <cols>
    <col min="1" max="1" width="13.6328125" bestFit="1" customWidth="1"/>
    <col min="2" max="2" width="9.453125" bestFit="1" customWidth="1"/>
    <col min="3" max="3" width="8.7265625" style="4"/>
    <col min="4" max="4" width="9.54296875" bestFit="1" customWidth="1"/>
  </cols>
  <sheetData>
    <row r="1" spans="1:7">
      <c r="A1" s="15" t="s">
        <v>103</v>
      </c>
      <c r="B1" s="16"/>
      <c r="C1" s="16"/>
      <c r="D1" s="16"/>
      <c r="E1" s="16"/>
      <c r="F1" s="16"/>
      <c r="G1" s="16"/>
    </row>
    <row r="2" spans="1:7">
      <c r="A2" s="16"/>
      <c r="B2" s="16"/>
      <c r="C2" s="16"/>
      <c r="D2" s="16"/>
      <c r="E2" s="16"/>
      <c r="F2" s="16"/>
      <c r="G2" s="16"/>
    </row>
    <row r="3" spans="1:7" ht="13">
      <c r="A3" s="12" t="s">
        <v>104</v>
      </c>
      <c r="B3" s="12"/>
      <c r="C3" s="12"/>
      <c r="D3" s="12"/>
      <c r="E3" s="12"/>
      <c r="F3" s="12"/>
      <c r="G3" s="12"/>
    </row>
    <row r="5" spans="1:7">
      <c r="A5" s="13" t="s">
        <v>81</v>
      </c>
      <c r="B5" s="13" t="s">
        <v>73</v>
      </c>
    </row>
    <row r="6" spans="1:7">
      <c r="A6" s="13" t="s">
        <v>82</v>
      </c>
      <c r="B6" s="13" t="str">
        <f>VLOOKUP(B5, Sheet1!A:B, 2, FALSE)</f>
        <v>Usman Garba</v>
      </c>
    </row>
    <row r="7" spans="1:7">
      <c r="A7" s="13" t="s">
        <v>90</v>
      </c>
      <c r="B7" s="13" t="str">
        <f>VLOOKUP(B5, Sheet1!A:C, 3, FALSE)</f>
        <v>Agriculture</v>
      </c>
    </row>
    <row r="9" spans="1:7" ht="13">
      <c r="A9" s="10" t="s">
        <v>83</v>
      </c>
      <c r="B9" s="11" t="s">
        <v>84</v>
      </c>
      <c r="C9" s="11" t="s">
        <v>85</v>
      </c>
      <c r="D9" s="10" t="s">
        <v>86</v>
      </c>
      <c r="E9" s="12" t="s">
        <v>113</v>
      </c>
      <c r="F9" s="12"/>
      <c r="G9" s="12"/>
    </row>
    <row r="10" spans="1:7">
      <c r="A10" s="13" t="s">
        <v>87</v>
      </c>
      <c r="B10" s="8">
        <f>VLOOKUP(B5,Sheet1!A:D,4,FALSE)</f>
        <v>44</v>
      </c>
      <c r="C10" s="8" t="str">
        <f>VLOOKUP(B10,Sheet3!A:B,2,TRUE)</f>
        <v>F</v>
      </c>
      <c r="D10" s="13" t="str">
        <f>VLOOKUP(B10, Sheet3!D:E,2,TRUE)</f>
        <v>Fail</v>
      </c>
      <c r="E10" s="14" t="str">
        <f>IF(B20&gt;50,"PASS","FAIL")</f>
        <v>PASS</v>
      </c>
      <c r="F10" s="14"/>
      <c r="G10" s="14"/>
    </row>
    <row r="11" spans="1:7">
      <c r="A11" s="13" t="s">
        <v>88</v>
      </c>
      <c r="B11" s="8">
        <f>VLOOKUP(B5,Sheet1!A:E,5,FALSE)</f>
        <v>66</v>
      </c>
      <c r="C11" s="8" t="str">
        <f>VLOOKUP(B11,Sheet3!A:B,2,TRUE)</f>
        <v>C</v>
      </c>
      <c r="D11" s="13" t="str">
        <f>VLOOKUP(B11, Sheet3!D:E,2,TRUE)</f>
        <v>Good</v>
      </c>
      <c r="E11" s="14"/>
      <c r="F11" s="14"/>
      <c r="G11" s="14"/>
    </row>
    <row r="12" spans="1:7">
      <c r="A12" s="13" t="s">
        <v>33</v>
      </c>
      <c r="B12" s="8">
        <f>VLOOKUP(B5,Sheet1!A:F,6,FALSE)</f>
        <v>70</v>
      </c>
      <c r="C12" s="8" t="str">
        <f>VLOOKUP(B12,Sheet3!A:B,2,TRUE)</f>
        <v>B</v>
      </c>
      <c r="D12" s="13" t="str">
        <f>VLOOKUP(B12, Sheet3!D:E,2,TRUE)</f>
        <v>Very Good</v>
      </c>
      <c r="E12" s="14"/>
      <c r="F12" s="14"/>
      <c r="G12" s="14"/>
    </row>
    <row r="13" spans="1:7">
      <c r="A13" s="13" t="s">
        <v>18</v>
      </c>
      <c r="B13" s="8">
        <f>VLOOKUP(B5,Sheet1!A:G,7,FALSE)</f>
        <v>72</v>
      </c>
      <c r="C13" s="8" t="str">
        <f>VLOOKUP(B13,Sheet3!A:B,2,TRUE)</f>
        <v>B</v>
      </c>
      <c r="D13" s="13" t="str">
        <f>VLOOKUP(B13, Sheet3!D:E,2,TRUE)</f>
        <v>Very Good</v>
      </c>
      <c r="E13" s="14"/>
      <c r="F13" s="14"/>
      <c r="G13" s="14"/>
    </row>
    <row r="14" spans="1:7">
      <c r="A14" s="13" t="s">
        <v>36</v>
      </c>
      <c r="B14" s="8">
        <f>VLOOKUP(B5,Sheet1!A:H,8,FALSE)</f>
        <v>44</v>
      </c>
      <c r="C14" s="8" t="str">
        <f>VLOOKUP(B14,Sheet3!A:B,2,TRUE)</f>
        <v>F</v>
      </c>
      <c r="D14" s="13" t="str">
        <f>VLOOKUP(B14, Sheet3!D:E,2,TRUE)</f>
        <v>Fail</v>
      </c>
      <c r="E14" s="14"/>
      <c r="F14" s="14"/>
      <c r="G14" s="14"/>
    </row>
    <row r="15" spans="1:7">
      <c r="A15" s="13" t="s">
        <v>89</v>
      </c>
      <c r="B15" s="8">
        <f>VLOOKUP(B5,Sheet1!A:I,9,FALSE)</f>
        <v>55</v>
      </c>
      <c r="C15" s="8" t="str">
        <f>VLOOKUP(B15,Sheet3!A:B,2,TRUE)</f>
        <v>D</v>
      </c>
      <c r="D15" s="13" t="str">
        <f>VLOOKUP(B15, Sheet3!D:E,2,TRUE)</f>
        <v>Good</v>
      </c>
      <c r="E15" s="14"/>
      <c r="F15" s="14"/>
      <c r="G15" s="14"/>
    </row>
    <row r="16" spans="1:7">
      <c r="A16" s="13" t="s">
        <v>27</v>
      </c>
      <c r="B16" s="8">
        <f>VLOOKUP(B5,Sheet1!A:J,10,FALSE)</f>
        <v>74</v>
      </c>
      <c r="C16" s="8" t="str">
        <f>VLOOKUP(B16,Sheet3!A:B,2,TRUE)</f>
        <v>B</v>
      </c>
      <c r="D16" s="13" t="str">
        <f>VLOOKUP(B16, Sheet3!D:E,2,TRUE)</f>
        <v>Very Good</v>
      </c>
      <c r="E16" s="14"/>
      <c r="F16" s="14"/>
      <c r="G16" s="14"/>
    </row>
    <row r="18" spans="1:7" ht="13">
      <c r="A18" s="6" t="s">
        <v>105</v>
      </c>
      <c r="B18" s="6"/>
      <c r="D18" s="12" t="s">
        <v>114</v>
      </c>
      <c r="E18" s="12"/>
      <c r="F18" s="12"/>
      <c r="G18" s="12"/>
    </row>
    <row r="19" spans="1:7">
      <c r="A19" s="7" t="s">
        <v>106</v>
      </c>
      <c r="B19" s="8">
        <f>SUM(B10:B16)</f>
        <v>425</v>
      </c>
      <c r="D19" s="5"/>
      <c r="E19" s="5"/>
      <c r="F19" s="5"/>
      <c r="G19" s="5"/>
    </row>
    <row r="20" spans="1:7">
      <c r="A20" s="7" t="s">
        <v>107</v>
      </c>
      <c r="B20" s="9">
        <f>AVERAGE(B10:B16)</f>
        <v>60.714285714285715</v>
      </c>
      <c r="D20" s="5"/>
      <c r="E20" s="5"/>
      <c r="F20" s="5"/>
      <c r="G20" s="5"/>
    </row>
    <row r="21" spans="1:7">
      <c r="A21" s="7" t="s">
        <v>108</v>
      </c>
      <c r="B21" s="8">
        <f>MAX(B10:B16)</f>
        <v>74</v>
      </c>
      <c r="D21" s="5"/>
      <c r="E21" s="5"/>
      <c r="F21" s="5"/>
      <c r="G21" s="5"/>
    </row>
    <row r="22" spans="1:7">
      <c r="A22" s="7" t="s">
        <v>109</v>
      </c>
      <c r="B22" s="8">
        <f>MIN(B10:B16)</f>
        <v>44</v>
      </c>
      <c r="D22" s="5"/>
      <c r="E22" s="5"/>
      <c r="F22" s="5"/>
      <c r="G22" s="5"/>
    </row>
    <row r="23" spans="1:7">
      <c r="A23" s="7" t="s">
        <v>110</v>
      </c>
      <c r="B23" s="8" t="str">
        <f>VLOOKUP(B20,Sheet3!A4:B8,2,TRUE)</f>
        <v>C</v>
      </c>
      <c r="D23" s="5"/>
      <c r="E23" s="5"/>
      <c r="F23" s="5"/>
      <c r="G23" s="5"/>
    </row>
    <row r="24" spans="1:7">
      <c r="A24" s="7" t="s">
        <v>111</v>
      </c>
      <c r="B24" s="8" t="str">
        <f>RANK(B19,Sheet1!$K$2:$K$31,0)&amp;IF(RANK(B19,Sheet1!$K$2:$K$31,0)=1,"st",IF(RANK(B19,Sheet1!$K$2:$K$31,0)=2,"nd",IF(RANK(B19,Sheet1!$K$2:$K$31,0)=3,"rd","th")))</f>
        <v>28th</v>
      </c>
    </row>
  </sheetData>
  <mergeCells count="7">
    <mergeCell ref="D19:G23"/>
    <mergeCell ref="A18:B18"/>
    <mergeCell ref="A1:G2"/>
    <mergeCell ref="A3:G3"/>
    <mergeCell ref="E9:G9"/>
    <mergeCell ref="E10:G16"/>
    <mergeCell ref="D18:G18"/>
  </mergeCells>
  <conditionalFormatting sqref="C10:C16">
    <cfRule type="containsText" dxfId="8" priority="1" operator="containsText" text="D">
      <formula>NOT(ISERROR(SEARCH("D",C10)))</formula>
    </cfRule>
    <cfRule type="containsText" dxfId="7" priority="2" operator="containsText" text="F">
      <formula>NOT(ISERROR(SEARCH("F",C10)))</formula>
    </cfRule>
    <cfRule type="containsText" dxfId="6" priority="3" operator="containsText" text="D">
      <formula>NOT(ISERROR(SEARCH("D",C10)))</formula>
    </cfRule>
    <cfRule type="containsText" dxfId="5" priority="4" operator="containsText" text="C">
      <formula>NOT(ISERROR(SEARCH("C",C10)))</formula>
    </cfRule>
    <cfRule type="containsText" dxfId="4" priority="5" operator="containsText" text="B">
      <formula>NOT(ISERROR(SEARCH("B",C10)))</formula>
    </cfRule>
    <cfRule type="containsText" dxfId="3" priority="6" operator="containsText" text="A">
      <formula>NOT(ISERROR(SEARCH("A",C10)))</formula>
    </cfRule>
  </conditionalFormatting>
  <conditionalFormatting sqref="E10:G16">
    <cfRule type="containsText" dxfId="2" priority="7" operator="containsText" text="FAIL">
      <formula>NOT(ISERROR(SEARCH("FAIL",E10)))</formula>
    </cfRule>
    <cfRule type="containsText" dxfId="1" priority="8" operator="containsText" text="PASS">
      <formula>NOT(ISERROR(SEARCH("PASS",E10)))</formula>
    </cfRule>
    <cfRule type="containsText" dxfId="0" priority="9" operator="containsText" text="FAIL">
      <formula>NOT(ISERROR(SEARCH("FAIL",E10)))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E72EE13-F4CF-40B5-9158-683DB54DE0A1}">
          <x14:formula1>
            <xm:f>Sheet1!$A$2:$A$31</xm:f>
          </x14:formula1>
          <xm:sqref>B5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D8C9A-71F2-4284-8999-0314DC49849A}">
  <dimension ref="A3:E8"/>
  <sheetViews>
    <sheetView workbookViewId="0">
      <selection activeCell="E8" sqref="E8"/>
    </sheetView>
  </sheetViews>
  <sheetFormatPr defaultRowHeight="12.5"/>
  <cols>
    <col min="1" max="1" width="14.08984375" bestFit="1" customWidth="1"/>
    <col min="4" max="4" width="14.08984375" bestFit="1" customWidth="1"/>
  </cols>
  <sheetData>
    <row r="3" spans="1:5">
      <c r="A3" t="s">
        <v>91</v>
      </c>
      <c r="B3" t="s">
        <v>92</v>
      </c>
      <c r="D3" t="s">
        <v>102</v>
      </c>
      <c r="E3" t="s">
        <v>86</v>
      </c>
    </row>
    <row r="4" spans="1:5">
      <c r="A4">
        <v>0</v>
      </c>
      <c r="B4" t="s">
        <v>97</v>
      </c>
      <c r="D4">
        <v>0</v>
      </c>
      <c r="E4" t="s">
        <v>98</v>
      </c>
    </row>
    <row r="5" spans="1:5">
      <c r="A5">
        <v>50</v>
      </c>
      <c r="B5" t="s">
        <v>96</v>
      </c>
      <c r="D5">
        <v>50</v>
      </c>
      <c r="E5" t="s">
        <v>99</v>
      </c>
    </row>
    <row r="6" spans="1:5">
      <c r="A6">
        <v>60</v>
      </c>
      <c r="B6" t="s">
        <v>95</v>
      </c>
      <c r="D6">
        <v>60</v>
      </c>
      <c r="E6" t="s">
        <v>99</v>
      </c>
    </row>
    <row r="7" spans="1:5">
      <c r="A7">
        <v>70</v>
      </c>
      <c r="B7" t="s">
        <v>94</v>
      </c>
      <c r="D7">
        <v>70</v>
      </c>
      <c r="E7" t="s">
        <v>100</v>
      </c>
    </row>
    <row r="8" spans="1:5">
      <c r="A8">
        <v>80</v>
      </c>
      <c r="B8" t="s">
        <v>93</v>
      </c>
      <c r="D8">
        <v>80</v>
      </c>
      <c r="E8" t="s">
        <v>101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6D39A355080C45AB74C82FF1E3E82A" ma:contentTypeVersion="7" ma:contentTypeDescription="Create a new document." ma:contentTypeScope="" ma:versionID="2dad8da38e69b64d21c305678dae0be7">
  <xsd:schema xmlns:xsd="http://www.w3.org/2001/XMLSchema" xmlns:xs="http://www.w3.org/2001/XMLSchema" xmlns:p="http://schemas.microsoft.com/office/2006/metadata/properties" xmlns:ns2="6e0a9b9c-4ed8-4e9f-8162-c5b27aabdd60" targetNamespace="http://schemas.microsoft.com/office/2006/metadata/properties" ma:root="true" ma:fieldsID="be9a6167c0c2a6724675cfc81f59e3cf" ns2:_="">
    <xsd:import namespace="6e0a9b9c-4ed8-4e9f-8162-c5b27aabdd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0a9b9c-4ed8-4e9f-8162-c5b27aabdd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6154E7-A51F-4A14-BCBF-5616579110C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D310749-3EFE-4291-B98E-B2C89E47D4C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F821F9B-B1E0-40B8-A79F-B7E2377391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0a9b9c-4ed8-4e9f-8162-c5b27aabdd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2026-05-11T07:48:54Z</cp:lastPrinted>
  <dcterms:modified xsi:type="dcterms:W3CDTF">2026-05-11T21:45:13Z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0x010100F86D39A355080C45AB74C82FF1E3E82A</vt:lpwstr>
  </property>
</Properties>
</file>